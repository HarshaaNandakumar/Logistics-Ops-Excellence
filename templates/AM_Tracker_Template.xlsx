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rshaa\Downloads\repo2-logistics-ops-excellence\templates\"/>
    </mc:Choice>
  </mc:AlternateContent>
  <xr:revisionPtr revIDLastSave="0" documentId="13_ncr:1_{452BEA2C-3CE9-49DB-A12B-84B8383680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 Me" sheetId="1" r:id="rId1"/>
    <sheet name="Tracker" sheetId="2" r:id="rId2"/>
  </sheets>
  <definedNames>
    <definedName name="_xlnm.Print_Area" localSheetId="1">Tracker!$A$1:$AD$24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K5" i="2"/>
  <c r="K4" i="2"/>
  <c r="K3" i="2"/>
  <c r="K2" i="2"/>
</calcChain>
</file>

<file path=xl/sharedStrings.xml><?xml version="1.0" encoding="utf-8"?>
<sst xmlns="http://schemas.openxmlformats.org/spreadsheetml/2006/main" count="97" uniqueCount="67">
  <si>
    <t>Account Management Tracker  ·  Template</t>
  </si>
  <si>
    <t>A phased task tracker for everything that needs to happen on a strategic account.</t>
  </si>
  <si>
    <t>The phase model</t>
  </si>
  <si>
    <t>Phase I  —  Foundation</t>
  </si>
  <si>
    <t xml:space="preserve">    First 30–60 days. SOPs, contact matrix, pricing templates, introductory QBR.</t>
  </si>
  <si>
    <t>Phase II  —  Activation</t>
  </si>
  <si>
    <t xml:space="preserve">    Months 2–4. First shipments, exception handling, initial performance review.</t>
  </si>
  <si>
    <t>Phase III  —  Growth</t>
  </si>
  <si>
    <t xml:space="preserve">    Month 4 onwards. Volume expansion, lane diversification, commercial deepening.</t>
  </si>
  <si>
    <t>Status values (enforced via dropdown)</t>
  </si>
  <si>
    <t>•  Completed  —  Task delivered, signed off, no further action</t>
  </si>
  <si>
    <t>•  In Progress  —  Work has started, owner actively working on it</t>
  </si>
  <si>
    <t>•  Pending  —  Not yet started — waiting on input, decision, or capacity</t>
  </si>
  <si>
    <t>•  Blocked  —  Cannot proceed — external dependency, needs escalation</t>
  </si>
  <si>
    <t>Layout of the Tracker sheet</t>
  </si>
  <si>
    <t>•  Columns A–H:  Task list with phase, owner, dates, status, notes</t>
  </si>
  <si>
    <t>•  Columns J–K:  Live Status Summary — task counts by status</t>
  </si>
  <si>
    <t>Part of the Logistics Ops Excellence system</t>
  </si>
  <si>
    <t>github.com/HarshaaNandakumar/logistics-ops-excellence</t>
  </si>
  <si>
    <t>ACCOUNT MANAGEMENT TRACKER  ·  [CUSTOMER NAME]</t>
  </si>
  <si>
    <t>STATUS SUMMARY</t>
  </si>
  <si>
    <t>PHASE CALENDAR  ·  COLOR-CODED DATE RANGES</t>
  </si>
  <si>
    <t>Phase</t>
  </si>
  <si>
    <t>#</t>
  </si>
  <si>
    <t>Task Name</t>
  </si>
  <si>
    <t>Owner</t>
  </si>
  <si>
    <t>Date Started</t>
  </si>
  <si>
    <t>Date to End</t>
  </si>
  <si>
    <t>Status</t>
  </si>
  <si>
    <t>Notes</t>
  </si>
  <si>
    <t>Total Tasks</t>
  </si>
  <si>
    <t>I</t>
  </si>
  <si>
    <t>SOP Creation — freight &amp; docs handling</t>
  </si>
  <si>
    <t>Ops Manager</t>
  </si>
  <si>
    <t>Completed</t>
  </si>
  <si>
    <t>Reviewed with customer, signed off</t>
  </si>
  <si>
    <t>Contact Matrix — key stakeholders</t>
  </si>
  <si>
    <t>KAM</t>
  </si>
  <si>
    <t>Published to shared drive</t>
  </si>
  <si>
    <t>In Progress</t>
  </si>
  <si>
    <t>Pricing Template — all lanes</t>
  </si>
  <si>
    <t>Pricing</t>
  </si>
  <si>
    <t>Rate card shared, version 1.0</t>
  </si>
  <si>
    <t>Pending</t>
  </si>
  <si>
    <t>Legend:</t>
  </si>
  <si>
    <t xml:space="preserve">  Phase I</t>
  </si>
  <si>
    <t xml:space="preserve">  Phase II</t>
  </si>
  <si>
    <t xml:space="preserve">  Phase III</t>
  </si>
  <si>
    <t>Introductory QBR deck</t>
  </si>
  <si>
    <t>QBR held on Feb 2</t>
  </si>
  <si>
    <t>Blocked</t>
  </si>
  <si>
    <t>II</t>
  </si>
  <si>
    <t>First 10 shipments — close-tracking</t>
  </si>
  <si>
    <t>6 of 10 completed without issues</t>
  </si>
  <si>
    <t>DSR format finalization</t>
  </si>
  <si>
    <t>Analytics</t>
  </si>
  <si>
    <t>25-field template in use</t>
  </si>
  <si>
    <t>Exception handling playbook</t>
  </si>
  <si>
    <t>Draft under review</t>
  </si>
  <si>
    <t>Month-1 performance review</t>
  </si>
  <si>
    <t>III</t>
  </si>
  <si>
    <t>Lane expansion scoping — EU routes</t>
  </si>
  <si>
    <t>Awaiting volume commitment</t>
  </si>
  <si>
    <t>Quarterly QBR — Q1 review</t>
  </si>
  <si>
    <t>Air freight cross-sell proposal</t>
  </si>
  <si>
    <t>Customer decision pending</t>
  </si>
  <si>
    <t>•  Columns O–AD:  Phase Calendar — color-coded date ranges per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</si>
</sst>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"/>
  </numFmts>
  <fonts count="28" x14ac:knownFonts="1">
    <font>
      <sz val="11"/>
      <color theme="1"/>
      <name val="Calibri"/>
      <family val="2"/>
      <scheme val="minor"/>
    </font>
    <font>
      <b/>
      <sz val="22"/>
      <color rgb="FF1F3864"/>
      <name val="Calibri"/>
      <family val="2"/>
    </font>
    <font>
      <sz val="12"/>
      <color rgb="FF161217"/>
      <name val="Calibri"/>
      <family val="2"/>
    </font>
    <font>
      <b/>
      <sz val="14"/>
      <color rgb="FFB57E2E"/>
      <name val="Calibri"/>
      <family val="2"/>
    </font>
    <font>
      <b/>
      <sz val="12"/>
      <color rgb="FF1F3864"/>
      <name val="Calibri"/>
      <family val="2"/>
    </font>
    <font>
      <sz val="11"/>
      <color rgb="FF161217"/>
      <name val="Calibri"/>
      <family val="2"/>
    </font>
    <font>
      <b/>
      <sz val="11"/>
      <color rgb="FF1F3864"/>
      <name val="Calibri"/>
      <family val="2"/>
    </font>
    <font>
      <i/>
      <sz val="10"/>
      <color rgb="FFB57E2E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61217"/>
      <name val="Calibri"/>
      <family val="2"/>
    </font>
    <font>
      <b/>
      <sz val="12"/>
      <color rgb="FF375623"/>
      <name val="Calibri"/>
      <family val="2"/>
    </font>
    <font>
      <b/>
      <sz val="12"/>
      <color rgb="FF806000"/>
      <name val="Calibri"/>
      <family val="2"/>
    </font>
    <font>
      <b/>
      <sz val="12"/>
      <color rgb="FF595959"/>
      <name val="Calibri"/>
      <family val="2"/>
    </font>
    <font>
      <b/>
      <sz val="12"/>
      <color rgb="FF843C0C"/>
      <name val="Calibri"/>
      <family val="2"/>
    </font>
    <font>
      <sz val="10"/>
      <color rgb="FF161217"/>
      <name val="Calibri"/>
      <family val="2"/>
    </font>
    <font>
      <b/>
      <sz val="10"/>
      <color rgb="FF375623"/>
      <name val="Calibri"/>
      <family val="2"/>
    </font>
    <font>
      <b/>
      <sz val="10"/>
      <color rgb="FF806000"/>
      <name val="Calibri"/>
      <family val="2"/>
    </font>
    <font>
      <b/>
      <sz val="10"/>
      <color rgb="FF595959"/>
      <name val="Calibri"/>
      <family val="2"/>
    </font>
    <font>
      <b/>
      <sz val="10"/>
      <color rgb="FF843C0C"/>
      <name val="Calibri"/>
      <family val="2"/>
    </font>
    <font>
      <b/>
      <sz val="8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375623"/>
      <name val="Calibri"/>
      <family val="2"/>
    </font>
    <font>
      <b/>
      <sz val="9"/>
      <color rgb="FF806000"/>
      <name val="Calibri"/>
      <family val="2"/>
    </font>
    <font>
      <b/>
      <sz val="9"/>
      <color rgb="FF843C0C"/>
      <name val="Calibri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57E2E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CE4E4"/>
      </patternFill>
    </fill>
    <fill>
      <patternFill patternType="solid">
        <fgColor rgb="FFFAFAFA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 indent="1"/>
    </xf>
    <xf numFmtId="0" fontId="14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 indent="1"/>
    </xf>
    <xf numFmtId="0" fontId="15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 indent="1"/>
    </xf>
    <xf numFmtId="0" fontId="16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8" borderId="1" xfId="0" applyFill="1" applyBorder="1"/>
    <xf numFmtId="0" fontId="18" fillId="9" borderId="1" xfId="0" applyFont="1" applyFill="1" applyBorder="1" applyAlignment="1">
      <alignment horizontal="left" vertical="center" wrapText="1" indent="1"/>
    </xf>
    <xf numFmtId="0" fontId="0" fillId="9" borderId="1" xfId="0" applyFill="1" applyBorder="1"/>
    <xf numFmtId="0" fontId="19" fillId="10" borderId="1" xfId="0" applyFont="1" applyFill="1" applyBorder="1" applyAlignment="1">
      <alignment horizontal="left" vertical="center" wrapText="1" indent="1"/>
    </xf>
    <xf numFmtId="0" fontId="0" fillId="10" borderId="1" xfId="0" applyFill="1" applyBorder="1"/>
    <xf numFmtId="0" fontId="21" fillId="11" borderId="1" xfId="0" applyFont="1" applyFill="1" applyBorder="1" applyAlignment="1">
      <alignment horizontal="left" vertical="center" wrapText="1" indent="1"/>
    </xf>
    <xf numFmtId="0" fontId="0" fillId="11" borderId="1" xfId="0" applyFill="1" applyBorder="1"/>
    <xf numFmtId="0" fontId="23" fillId="0" borderId="0" xfId="0" applyFont="1" applyAlignment="1">
      <alignment horizontal="right" vertical="center"/>
    </xf>
    <xf numFmtId="165" fontId="22" fillId="2" borderId="1" xfId="0" applyNumberFormat="1" applyFont="1" applyFill="1" applyBorder="1" applyAlignment="1">
      <alignment horizontal="center" vertical="center" textRotation="90"/>
    </xf>
    <xf numFmtId="0" fontId="27" fillId="0" borderId="4" xfId="0" applyFont="1" applyBorder="1"/>
    <xf numFmtId="16" fontId="27" fillId="0" borderId="4" xfId="0" applyNumberFormat="1" applyFont="1" applyBorder="1"/>
    <xf numFmtId="0" fontId="17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164" fontId="17" fillId="8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5" fillId="10" borderId="5" xfId="0" applyFont="1" applyFill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5" fillId="10" borderId="3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0" fillId="0" borderId="0" xfId="0"/>
    <xf numFmtId="0" fontId="8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3"/>
  <sheetViews>
    <sheetView showGridLines="0" workbookViewId="0">
      <selection activeCell="E6" sqref="E6"/>
    </sheetView>
  </sheetViews>
  <sheetFormatPr defaultRowHeight="14.4" x14ac:dyDescent="0.3"/>
  <cols>
    <col min="1" max="1" width="3" customWidth="1"/>
    <col min="2" max="2" width="110" customWidth="1"/>
  </cols>
  <sheetData>
    <row r="2" spans="2:2" ht="40.049999999999997" customHeight="1" x14ac:dyDescent="0.55000000000000004">
      <c r="B2" s="1" t="s">
        <v>0</v>
      </c>
    </row>
    <row r="4" spans="2:2" ht="15.6" x14ac:dyDescent="0.3">
      <c r="B4" s="2" t="s">
        <v>1</v>
      </c>
    </row>
    <row r="6" spans="2:2" ht="18" x14ac:dyDescent="0.35">
      <c r="B6" s="3" t="s">
        <v>2</v>
      </c>
    </row>
    <row r="8" spans="2:2" ht="15.6" x14ac:dyDescent="0.3">
      <c r="B8" s="4" t="s">
        <v>3</v>
      </c>
    </row>
    <row r="9" spans="2:2" x14ac:dyDescent="0.3">
      <c r="B9" s="5" t="s">
        <v>4</v>
      </c>
    </row>
    <row r="11" spans="2:2" ht="15.6" x14ac:dyDescent="0.3">
      <c r="B11" s="4" t="s">
        <v>5</v>
      </c>
    </row>
    <row r="12" spans="2:2" x14ac:dyDescent="0.3">
      <c r="B12" s="5" t="s">
        <v>6</v>
      </c>
    </row>
    <row r="14" spans="2:2" ht="15.6" x14ac:dyDescent="0.3">
      <c r="B14" s="4" t="s">
        <v>7</v>
      </c>
    </row>
    <row r="15" spans="2:2" x14ac:dyDescent="0.3">
      <c r="B15" s="5" t="s">
        <v>8</v>
      </c>
    </row>
    <row r="17" spans="2:2" ht="10.050000000000001" customHeight="1" x14ac:dyDescent="0.3"/>
    <row r="18" spans="2:2" ht="18" x14ac:dyDescent="0.35">
      <c r="B18" s="3" t="s">
        <v>9</v>
      </c>
    </row>
    <row r="20" spans="2:2" x14ac:dyDescent="0.3">
      <c r="B20" s="5" t="s">
        <v>10</v>
      </c>
    </row>
    <row r="21" spans="2:2" x14ac:dyDescent="0.3">
      <c r="B21" s="5" t="s">
        <v>11</v>
      </c>
    </row>
    <row r="22" spans="2:2" x14ac:dyDescent="0.3">
      <c r="B22" s="5" t="s">
        <v>12</v>
      </c>
    </row>
    <row r="23" spans="2:2" x14ac:dyDescent="0.3">
      <c r="B23" s="5" t="s">
        <v>13</v>
      </c>
    </row>
    <row r="25" spans="2:2" ht="18" x14ac:dyDescent="0.35">
      <c r="B25" s="3" t="s">
        <v>14</v>
      </c>
    </row>
    <row r="27" spans="2:2" x14ac:dyDescent="0.3">
      <c r="B27" s="5" t="s">
        <v>15</v>
      </c>
    </row>
    <row r="28" spans="2:2" x14ac:dyDescent="0.3">
      <c r="B28" s="5" t="s">
        <v>16</v>
      </c>
    </row>
    <row r="29" spans="2:2" x14ac:dyDescent="0.3">
      <c r="B29" s="5" t="s">
        <v>66</v>
      </c>
    </row>
    <row r="32" spans="2:2" x14ac:dyDescent="0.3">
      <c r="B32" s="6" t="s">
        <v>17</v>
      </c>
    </row>
    <row r="33" spans="2:2" x14ac:dyDescent="0.3">
      <c r="B33" s="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39"/>
  <sheetViews>
    <sheetView showGridLines="0" tabSelected="1" workbookViewId="0">
      <selection activeCell="O16" sqref="O16"/>
    </sheetView>
  </sheetViews>
  <sheetFormatPr defaultRowHeight="14.4" x14ac:dyDescent="0.3"/>
  <cols>
    <col min="1" max="1" width="3" bestFit="1" customWidth="1"/>
    <col min="2" max="2" width="5.6640625" bestFit="1" customWidth="1"/>
    <col min="3" max="3" width="33.6640625" bestFit="1" customWidth="1"/>
    <col min="4" max="6" width="11.33203125" bestFit="1" customWidth="1"/>
    <col min="7" max="7" width="9.6640625" bestFit="1" customWidth="1"/>
    <col min="8" max="8" width="30.33203125" bestFit="1" customWidth="1"/>
    <col min="9" max="9" width="4.44140625" customWidth="1"/>
    <col min="10" max="10" width="11.5546875" bestFit="1" customWidth="1"/>
    <col min="11" max="11" width="6.109375" customWidth="1"/>
    <col min="12" max="14" width="4.44140625" customWidth="1"/>
    <col min="15" max="15" width="20.5546875" bestFit="1" customWidth="1"/>
    <col min="16" max="30" width="2.5546875" bestFit="1" customWidth="1"/>
  </cols>
  <sheetData>
    <row r="1" spans="1:30" ht="31.95" customHeight="1" x14ac:dyDescent="0.3">
      <c r="B1" s="53" t="s">
        <v>19</v>
      </c>
      <c r="C1" s="52"/>
      <c r="D1" s="52"/>
      <c r="E1" s="52"/>
      <c r="F1" s="52"/>
      <c r="G1" s="52"/>
      <c r="H1" s="52"/>
      <c r="J1" s="51" t="s">
        <v>20</v>
      </c>
      <c r="K1" s="52"/>
      <c r="O1" s="51" t="s">
        <v>21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2" spans="1:30" ht="28.2" x14ac:dyDescent="0.3">
      <c r="A2" s="8" t="s">
        <v>23</v>
      </c>
      <c r="B2" s="8" t="s">
        <v>22</v>
      </c>
      <c r="C2" s="8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J2" s="9" t="s">
        <v>30</v>
      </c>
      <c r="K2" s="10">
        <f>COUNTA(G3:G499)</f>
        <v>11</v>
      </c>
      <c r="O2" s="8" t="s">
        <v>22</v>
      </c>
      <c r="P2" s="30">
        <v>46027</v>
      </c>
      <c r="Q2" s="30">
        <v>46034</v>
      </c>
      <c r="R2" s="30">
        <v>46041</v>
      </c>
      <c r="S2" s="30">
        <v>46048</v>
      </c>
      <c r="T2" s="30">
        <v>46055</v>
      </c>
      <c r="U2" s="30">
        <v>46062</v>
      </c>
      <c r="V2" s="30">
        <v>46069</v>
      </c>
      <c r="W2" s="30">
        <v>46076</v>
      </c>
      <c r="X2" s="30">
        <v>46083</v>
      </c>
      <c r="Y2" s="30">
        <v>46090</v>
      </c>
      <c r="Z2" s="30">
        <v>46097</v>
      </c>
      <c r="AA2" s="30">
        <v>46104</v>
      </c>
      <c r="AB2" s="30">
        <v>46111</v>
      </c>
      <c r="AC2" s="30">
        <v>46118</v>
      </c>
      <c r="AD2" s="30">
        <v>46125</v>
      </c>
    </row>
    <row r="3" spans="1:30" ht="22.05" customHeight="1" x14ac:dyDescent="0.3">
      <c r="A3" s="11">
        <v>1</v>
      </c>
      <c r="B3" s="11" t="s">
        <v>31</v>
      </c>
      <c r="C3" s="33" t="s">
        <v>32</v>
      </c>
      <c r="D3" s="34" t="s">
        <v>33</v>
      </c>
      <c r="E3" s="35">
        <v>46027</v>
      </c>
      <c r="F3" s="35">
        <v>46042</v>
      </c>
      <c r="G3" s="36" t="s">
        <v>34</v>
      </c>
      <c r="H3" s="33" t="s">
        <v>35</v>
      </c>
      <c r="J3" s="12" t="s">
        <v>34</v>
      </c>
      <c r="K3" s="13">
        <f>COUNTIF(G3:G499,"Completed")</f>
        <v>5</v>
      </c>
      <c r="O3" s="23" t="s">
        <v>3</v>
      </c>
      <c r="P3" s="24"/>
      <c r="Q3" s="24"/>
      <c r="R3" s="24"/>
      <c r="S3" s="24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ht="22.05" customHeight="1" x14ac:dyDescent="0.3">
      <c r="A4" s="14">
        <v>2</v>
      </c>
      <c r="B4" s="14" t="s">
        <v>31</v>
      </c>
      <c r="C4" s="37" t="s">
        <v>36</v>
      </c>
      <c r="D4" s="38" t="s">
        <v>37</v>
      </c>
      <c r="E4" s="39">
        <v>46027</v>
      </c>
      <c r="F4" s="39">
        <v>46037</v>
      </c>
      <c r="G4" s="36" t="s">
        <v>34</v>
      </c>
      <c r="H4" s="37" t="s">
        <v>38</v>
      </c>
      <c r="J4" s="15" t="s">
        <v>39</v>
      </c>
      <c r="K4" s="16">
        <f>COUNTIF(G3:G499,"In Progress")</f>
        <v>2</v>
      </c>
      <c r="O4" s="25" t="s">
        <v>5</v>
      </c>
      <c r="P4" s="22"/>
      <c r="Q4" s="22"/>
      <c r="R4" s="22"/>
      <c r="S4" s="26"/>
      <c r="T4" s="26"/>
      <c r="U4" s="26"/>
      <c r="V4" s="26"/>
      <c r="W4" s="26"/>
      <c r="X4" s="26"/>
      <c r="Y4" s="22"/>
      <c r="Z4" s="22"/>
      <c r="AA4" s="22"/>
      <c r="AB4" s="22"/>
      <c r="AC4" s="22"/>
      <c r="AD4" s="22"/>
    </row>
    <row r="5" spans="1:30" ht="22.05" customHeight="1" x14ac:dyDescent="0.3">
      <c r="A5" s="11">
        <v>3</v>
      </c>
      <c r="B5" s="11" t="s">
        <v>31</v>
      </c>
      <c r="C5" s="33" t="s">
        <v>40</v>
      </c>
      <c r="D5" s="34" t="s">
        <v>41</v>
      </c>
      <c r="E5" s="35">
        <v>46032</v>
      </c>
      <c r="F5" s="35">
        <v>46047</v>
      </c>
      <c r="G5" s="36" t="s">
        <v>34</v>
      </c>
      <c r="H5" s="33" t="s">
        <v>42</v>
      </c>
      <c r="J5" s="17" t="s">
        <v>43</v>
      </c>
      <c r="K5" s="18">
        <f>COUNTIF(G3:G499,"Pending")</f>
        <v>3</v>
      </c>
      <c r="O5" s="27" t="s">
        <v>7</v>
      </c>
      <c r="P5" s="22"/>
      <c r="Q5" s="22"/>
      <c r="R5" s="22"/>
      <c r="S5" s="22"/>
      <c r="T5" s="22"/>
      <c r="U5" s="22"/>
      <c r="V5" s="22"/>
      <c r="W5" s="28"/>
      <c r="X5" s="28"/>
      <c r="Y5" s="28"/>
      <c r="Z5" s="28"/>
      <c r="AA5" s="28"/>
      <c r="AB5" s="28"/>
      <c r="AC5" s="28"/>
      <c r="AD5" s="28"/>
    </row>
    <row r="6" spans="1:30" ht="15.6" x14ac:dyDescent="0.3">
      <c r="A6" s="14">
        <v>4</v>
      </c>
      <c r="B6" s="14" t="s">
        <v>31</v>
      </c>
      <c r="C6" s="37" t="s">
        <v>48</v>
      </c>
      <c r="D6" s="38" t="s">
        <v>37</v>
      </c>
      <c r="E6" s="39">
        <v>46037</v>
      </c>
      <c r="F6" s="39">
        <v>46054</v>
      </c>
      <c r="G6" s="36" t="s">
        <v>34</v>
      </c>
      <c r="H6" s="37" t="s">
        <v>49</v>
      </c>
      <c r="J6" s="19" t="s">
        <v>50</v>
      </c>
      <c r="K6" s="20">
        <f>COUNTIF(G3:G499,"Blocked")</f>
        <v>1</v>
      </c>
      <c r="O6" s="29" t="s">
        <v>44</v>
      </c>
      <c r="P6" s="43" t="s">
        <v>45</v>
      </c>
      <c r="Q6" s="44"/>
      <c r="R6" s="44"/>
      <c r="S6" s="44"/>
      <c r="T6" s="45"/>
      <c r="U6" s="46" t="s">
        <v>46</v>
      </c>
      <c r="V6" s="47"/>
      <c r="W6" s="47"/>
      <c r="X6" s="47"/>
      <c r="Y6" s="48"/>
      <c r="Z6" s="49" t="s">
        <v>47</v>
      </c>
      <c r="AA6" s="50"/>
      <c r="AB6" s="50"/>
      <c r="AC6" s="50"/>
      <c r="AD6" s="50"/>
    </row>
    <row r="7" spans="1:30" x14ac:dyDescent="0.3">
      <c r="A7" s="11">
        <v>5</v>
      </c>
      <c r="B7" s="11" t="s">
        <v>51</v>
      </c>
      <c r="C7" s="33" t="s">
        <v>52</v>
      </c>
      <c r="D7" s="34" t="s">
        <v>33</v>
      </c>
      <c r="E7" s="35">
        <v>46054</v>
      </c>
      <c r="F7" s="35">
        <v>46073</v>
      </c>
      <c r="G7" s="40" t="s">
        <v>39</v>
      </c>
      <c r="H7" s="33" t="s">
        <v>53</v>
      </c>
    </row>
    <row r="8" spans="1:30" x14ac:dyDescent="0.3">
      <c r="A8" s="14">
        <v>6</v>
      </c>
      <c r="B8" s="14" t="s">
        <v>51</v>
      </c>
      <c r="C8" s="37" t="s">
        <v>54</v>
      </c>
      <c r="D8" s="38" t="s">
        <v>55</v>
      </c>
      <c r="E8" s="39">
        <v>46058</v>
      </c>
      <c r="F8" s="39">
        <v>46065</v>
      </c>
      <c r="G8" s="36" t="s">
        <v>34</v>
      </c>
      <c r="H8" s="37" t="s">
        <v>56</v>
      </c>
    </row>
    <row r="9" spans="1:30" x14ac:dyDescent="0.3">
      <c r="A9" s="11">
        <v>7</v>
      </c>
      <c r="B9" s="11" t="s">
        <v>51</v>
      </c>
      <c r="C9" s="33" t="s">
        <v>57</v>
      </c>
      <c r="D9" s="34" t="s">
        <v>33</v>
      </c>
      <c r="E9" s="35">
        <v>46063</v>
      </c>
      <c r="F9" s="35">
        <v>46081</v>
      </c>
      <c r="G9" s="40" t="s">
        <v>39</v>
      </c>
      <c r="H9" s="33" t="s">
        <v>58</v>
      </c>
    </row>
    <row r="10" spans="1:30" x14ac:dyDescent="0.3">
      <c r="A10" s="14">
        <v>8</v>
      </c>
      <c r="B10" s="14" t="s">
        <v>51</v>
      </c>
      <c r="C10" s="37" t="s">
        <v>59</v>
      </c>
      <c r="D10" s="38" t="s">
        <v>37</v>
      </c>
      <c r="E10" s="39">
        <v>46078</v>
      </c>
      <c r="F10" s="39">
        <v>46086</v>
      </c>
      <c r="G10" s="41" t="s">
        <v>43</v>
      </c>
      <c r="H10" s="37"/>
    </row>
    <row r="11" spans="1:30" x14ac:dyDescent="0.3">
      <c r="A11" s="11">
        <v>9</v>
      </c>
      <c r="B11" s="11" t="s">
        <v>60</v>
      </c>
      <c r="C11" s="33" t="s">
        <v>61</v>
      </c>
      <c r="D11" s="34" t="s">
        <v>37</v>
      </c>
      <c r="E11" s="35">
        <v>46082</v>
      </c>
      <c r="F11" s="35">
        <v>46111</v>
      </c>
      <c r="G11" s="41" t="s">
        <v>43</v>
      </c>
      <c r="H11" s="33" t="s">
        <v>62</v>
      </c>
    </row>
    <row r="12" spans="1:30" x14ac:dyDescent="0.3">
      <c r="A12" s="14">
        <v>10</v>
      </c>
      <c r="B12" s="14" t="s">
        <v>60</v>
      </c>
      <c r="C12" s="37" t="s">
        <v>63</v>
      </c>
      <c r="D12" s="38" t="s">
        <v>37</v>
      </c>
      <c r="E12" s="39">
        <v>46096</v>
      </c>
      <c r="F12" s="39">
        <v>46117</v>
      </c>
      <c r="G12" s="41" t="s">
        <v>43</v>
      </c>
      <c r="H12" s="37"/>
    </row>
    <row r="13" spans="1:30" x14ac:dyDescent="0.3">
      <c r="A13" s="11">
        <v>11</v>
      </c>
      <c r="B13" s="11" t="s">
        <v>60</v>
      </c>
      <c r="C13" s="33" t="s">
        <v>64</v>
      </c>
      <c r="D13" s="34" t="s">
        <v>41</v>
      </c>
      <c r="E13" s="35">
        <v>46113</v>
      </c>
      <c r="F13" s="35">
        <v>46127</v>
      </c>
      <c r="G13" s="42" t="s">
        <v>50</v>
      </c>
      <c r="H13" s="33" t="s">
        <v>65</v>
      </c>
    </row>
    <row r="14" spans="1:30" x14ac:dyDescent="0.3">
      <c r="A14" s="21"/>
      <c r="B14" s="21"/>
      <c r="C14" s="21"/>
      <c r="D14" s="21"/>
      <c r="E14" s="21"/>
      <c r="F14" s="21"/>
      <c r="G14" s="21"/>
      <c r="H14" s="21"/>
    </row>
    <row r="15" spans="1:30" x14ac:dyDescent="0.3">
      <c r="A15" s="22"/>
      <c r="B15" s="22"/>
      <c r="C15" s="22"/>
      <c r="D15" s="22"/>
      <c r="E15" s="22"/>
      <c r="F15" s="22"/>
      <c r="G15" s="22"/>
      <c r="H15" s="22"/>
    </row>
    <row r="16" spans="1:30" x14ac:dyDescent="0.3">
      <c r="A16" s="21"/>
      <c r="B16" s="21"/>
      <c r="C16" s="21"/>
      <c r="D16" s="21"/>
      <c r="E16" s="21"/>
      <c r="F16" s="21"/>
      <c r="G16" s="21"/>
      <c r="H16" s="21"/>
    </row>
    <row r="17" spans="1:29" x14ac:dyDescent="0.3">
      <c r="A17" s="22"/>
      <c r="B17" s="22"/>
      <c r="C17" s="22"/>
      <c r="D17" s="22"/>
      <c r="E17" s="22"/>
      <c r="F17" s="22"/>
      <c r="G17" s="22"/>
      <c r="H17" s="22"/>
    </row>
    <row r="18" spans="1:29" x14ac:dyDescent="0.3">
      <c r="A18" s="21"/>
      <c r="B18" s="21"/>
      <c r="C18" s="21"/>
      <c r="D18" s="21"/>
      <c r="E18" s="21"/>
      <c r="F18" s="21"/>
      <c r="G18" s="21"/>
      <c r="H18" s="21"/>
    </row>
    <row r="19" spans="1:29" x14ac:dyDescent="0.3">
      <c r="A19" s="22"/>
      <c r="B19" s="22"/>
      <c r="C19" s="22"/>
      <c r="D19" s="22"/>
      <c r="E19" s="22"/>
      <c r="F19" s="22"/>
      <c r="G19" s="22"/>
      <c r="H19" s="22"/>
    </row>
    <row r="20" spans="1:29" x14ac:dyDescent="0.3">
      <c r="A20" s="21"/>
      <c r="B20" s="21"/>
      <c r="C20" s="21"/>
      <c r="D20" s="21"/>
      <c r="E20" s="21"/>
      <c r="F20" s="21"/>
      <c r="G20" s="21"/>
      <c r="H20" s="21"/>
    </row>
    <row r="21" spans="1:29" x14ac:dyDescent="0.3">
      <c r="A21" s="22"/>
      <c r="B21" s="22"/>
      <c r="C21" s="22"/>
      <c r="D21" s="22"/>
      <c r="E21" s="22"/>
      <c r="F21" s="22"/>
      <c r="G21" s="22"/>
      <c r="H21" s="22"/>
    </row>
    <row r="22" spans="1:29" x14ac:dyDescent="0.3">
      <c r="A22" s="21"/>
      <c r="B22" s="21"/>
      <c r="C22" s="21"/>
      <c r="D22" s="21"/>
      <c r="E22" s="21"/>
      <c r="F22" s="21"/>
      <c r="G22" s="21"/>
      <c r="H22" s="21"/>
    </row>
    <row r="23" spans="1:29" x14ac:dyDescent="0.3">
      <c r="A23" s="22"/>
      <c r="B23" s="22"/>
      <c r="C23" s="22"/>
      <c r="D23" s="22"/>
      <c r="E23" s="22"/>
      <c r="F23" s="22"/>
      <c r="G23" s="22"/>
      <c r="H23" s="22"/>
    </row>
    <row r="27" spans="1:29" x14ac:dyDescent="0.3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</row>
    <row r="28" spans="1:29" x14ac:dyDescent="0.3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</row>
    <row r="29" spans="1:29" x14ac:dyDescent="0.3">
      <c r="A29" s="31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</row>
    <row r="30" spans="1:29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</row>
    <row r="31" spans="1:29" x14ac:dyDescent="0.3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</row>
    <row r="32" spans="1:29" x14ac:dyDescent="0.3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</row>
    <row r="33" spans="1:29" x14ac:dyDescent="0.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</row>
    <row r="34" spans="1:29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x14ac:dyDescent="0.3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x14ac:dyDescent="0.3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1:29" x14ac:dyDescent="0.3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1:29" x14ac:dyDescent="0.3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1:29" x14ac:dyDescent="0.3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</sheetData>
  <mergeCells count="6">
    <mergeCell ref="P6:T6"/>
    <mergeCell ref="U6:Y6"/>
    <mergeCell ref="Z6:AD6"/>
    <mergeCell ref="O1:AD1"/>
    <mergeCell ref="B1:H1"/>
    <mergeCell ref="J1:K1"/>
  </mergeCells>
  <dataValidations count="2">
    <dataValidation type="list" allowBlank="1" sqref="B3:B499" xr:uid="{00000000-0002-0000-0100-000000000000}">
      <formula1>"I,II,III"</formula1>
    </dataValidation>
    <dataValidation type="list" allowBlank="1" sqref="G3:G499" xr:uid="{00000000-0002-0000-0100-000001000000}">
      <formula1>"Completed,In Progress,Pending,Blocked"</formula1>
    </dataValidation>
  </dataValidations>
  <pageMargins left="0.3" right="0.3" top="0.4" bottom="0.4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 Me</vt:lpstr>
      <vt:lpstr>Tracker</vt:lpstr>
      <vt:lpstr>Tracker!Print_Area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Harshaa  Nandakumar</cp:lastModifiedBy>
  <dcterms:created xsi:type="dcterms:W3CDTF">2026-04-21T05:53:11Z</dcterms:created>
  <dcterms:modified xsi:type="dcterms:W3CDTF">2026-04-21T06:51:52Z</dcterms:modified>
</cp:coreProperties>
</file>