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SR" sheetId="2" state="visible" r:id="rId2"/>
    <sheet xmlns:r="http://schemas.openxmlformats.org/officeDocument/2006/relationships" name="DSR Count" sheetId="3" state="visible" r:id="rId3"/>
    <sheet xmlns:r="http://schemas.openxmlformats.org/officeDocument/2006/relationships" name="Outlook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0.0%"/>
    <numFmt numFmtId="167" formatCode="dd-mmm-yyyy hh:mm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161217"/>
      <sz val="12"/>
    </font>
    <font>
      <name val="Calibri"/>
      <b val="1"/>
      <color rgb="00B57E2E"/>
      <sz val="14"/>
    </font>
    <font>
      <name val="Calibri"/>
      <color rgb="00161217"/>
      <sz val="11"/>
    </font>
    <font>
      <name val="Calibri"/>
      <b val="1"/>
      <color rgb="001F3864"/>
      <sz val="11"/>
    </font>
    <font>
      <name val="Calibri"/>
      <i val="1"/>
      <color rgb="00B57E2E"/>
      <sz val="10"/>
    </font>
    <font>
      <name val="Calibri"/>
      <b val="1"/>
      <color rgb="00FFFFFF"/>
      <sz val="10"/>
    </font>
    <font>
      <name val="Calibri"/>
      <color rgb="00161217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161217"/>
      <sz val="10"/>
    </font>
    <font>
      <name val="Calibri"/>
      <b val="1"/>
      <color rgb="00B57E2E"/>
      <sz val="11"/>
    </font>
    <font>
      <name val="Calibri"/>
      <b val="1"/>
      <color rgb="001F4947"/>
      <sz val="10"/>
    </font>
    <font>
      <name val="Calibri"/>
      <i val="1"/>
      <color rgb="00595959"/>
      <sz val="9"/>
    </font>
    <font>
      <name val="Calibri"/>
      <b val="1"/>
      <color rgb="00375623"/>
      <sz val="10"/>
    </font>
    <font>
      <name val="Calibri"/>
      <b val="1"/>
      <color rgb="00806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FAFA"/>
      </patternFill>
    </fill>
    <fill>
      <patternFill patternType="solid">
        <fgColor rgb="00B57E2E"/>
      </patternFill>
    </fill>
    <fill>
      <patternFill patternType="solid">
        <fgColor rgb="00F7F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 indent="1"/>
    </xf>
    <xf numFmtId="165" fontId="8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165" fontId="8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3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wrapText="1" indent="1"/>
    </xf>
    <xf numFmtId="167" fontId="8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40" customHeight="1">
      <c r="B2" s="1" t="inlineStr">
        <is>
          <t>Daily Shipment Report  ·  Template</t>
        </is>
      </c>
    </row>
    <row r="4">
      <c r="B4" s="2" t="inlineStr">
        <is>
          <t>A single daily view of every shipment's status. Sent to the customer, retained internally.</t>
        </is>
      </c>
    </row>
    <row r="6">
      <c r="B6" s="3" t="inlineStr">
        <is>
          <t>Sheets</t>
        </is>
      </c>
    </row>
    <row r="8">
      <c r="B8" s="4" t="inlineStr">
        <is>
          <t>•   DSR                 —  One row per shipment, 25 fields per row</t>
        </is>
      </c>
    </row>
    <row r="9">
      <c r="B9" s="4" t="inlineStr">
        <is>
          <t>•   DSR Count           —  Working-day compliance tracker (Mon–Sat)</t>
        </is>
      </c>
    </row>
    <row r="10">
      <c r="B10" s="4" t="inlineStr">
        <is>
          <t>•   Outlook Log         —  Auto-populated from Outlook: every 'DSR' email with sender + timestamp</t>
        </is>
      </c>
    </row>
    <row r="12" ht="10" customHeight="1"/>
    <row r="13">
      <c r="B13" s="3" t="inlineStr">
        <is>
          <t>How to use</t>
        </is>
      </c>
    </row>
    <row r="15">
      <c r="B15" s="4" t="inlineStr">
        <is>
          <t>1.   Enter shipments on the DSR sheet — all 25 fields</t>
        </is>
      </c>
    </row>
    <row r="16">
      <c r="B16" s="4" t="inlineStr">
        <is>
          <t>2.   Use Incoterm dropdown (column F) and Completed Y/N dropdown (column U)</t>
        </is>
      </c>
    </row>
    <row r="17">
      <c r="B17" s="4" t="inlineStr">
        <is>
          <t>3.   Email the DSR to the customer and CHA with subject 'DSR #[ref]' (e.g., 'DSR #20260117')</t>
        </is>
      </c>
    </row>
    <row r="18">
      <c r="B18" s="4" t="inlineStr">
        <is>
          <t>4.   Click 'Refresh Outlook Log' on the Outlook Log sheet to pull the day's DSR emails</t>
        </is>
      </c>
    </row>
    <row r="19">
      <c r="B19" s="4" t="inlineStr">
        <is>
          <t>5.   The DSR Count sheet automatically counts working-day sends from the Outlook Log</t>
        </is>
      </c>
    </row>
    <row r="21" ht="10" customHeight="1"/>
    <row r="22">
      <c r="B22" s="3" t="inlineStr">
        <is>
          <t>VBA setup required</t>
        </is>
      </c>
    </row>
    <row r="24">
      <c r="B24" s="4" t="inlineStr">
        <is>
          <t>•   Save as .xlsm (macro-enabled)   —   File → Save As → Excel Macro-Enabled Workbook</t>
        </is>
      </c>
    </row>
    <row r="25">
      <c r="B25" s="4" t="inlineStr">
        <is>
          <t>•   Import src/DSR_Outlook_Log.bas   —   Alt+F11 → File → Import File</t>
        </is>
      </c>
    </row>
    <row r="26">
      <c r="B26" s="4" t="inlineStr">
        <is>
          <t>•   Add an ActiveX button on Outlook Log sheet, assign to RefreshOutlookLog macro</t>
        </is>
      </c>
    </row>
    <row r="27">
      <c r="B27" s="4" t="inlineStr">
        <is>
          <t>•   First run will prompt for Outlook security permissions — approve to allow access</t>
        </is>
      </c>
    </row>
    <row r="29" ht="10" customHeight="1"/>
    <row r="30">
      <c r="B30" s="5" t="inlineStr">
        <is>
          <t>Part of the Logistics Ops Excellence system</t>
        </is>
      </c>
    </row>
    <row r="31">
      <c r="B31" s="6" t="inlineStr">
        <is>
          <t>github.com/HarshaaNandakumar/logistics-ops-excellence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2" customWidth="1" min="4" max="4"/>
    <col width="14" customWidth="1" min="5" max="5"/>
    <col width="11" customWidth="1" min="6" max="6"/>
    <col width="18" customWidth="1" min="7" max="7"/>
    <col width="18" customWidth="1" min="8" max="8"/>
    <col width="10" customWidth="1" min="9" max="9"/>
    <col width="11" customWidth="1" min="10" max="10"/>
    <col width="12" customWidth="1" min="11" max="11"/>
    <col width="16" customWidth="1" min="12" max="12"/>
    <col width="14" customWidth="1" min="13" max="13"/>
    <col width="12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1" customWidth="1" min="21" max="21"/>
    <col width="18" customWidth="1" min="22" max="22"/>
    <col width="24" customWidth="1" min="23" max="23"/>
    <col width="24" customWidth="1" min="24" max="24"/>
    <col width="28" customWidth="1" min="25" max="25"/>
  </cols>
  <sheetData>
    <row r="1" ht="36" customHeight="1">
      <c r="A1" s="7" t="inlineStr">
        <is>
          <t>S.No</t>
        </is>
      </c>
      <c r="B1" s="7" t="inlineStr">
        <is>
          <t>Shipper Name</t>
        </is>
      </c>
      <c r="C1" s="7" t="inlineStr">
        <is>
          <t>JOB ID</t>
        </is>
      </c>
      <c r="D1" s="7" t="inlineStr">
        <is>
          <t>Origin</t>
        </is>
      </c>
      <c r="E1" s="7" t="inlineStr">
        <is>
          <t>Destination</t>
        </is>
      </c>
      <c r="F1" s="7" t="inlineStr">
        <is>
          <t>Incoterm</t>
        </is>
      </c>
      <c r="G1" s="7" t="inlineStr">
        <is>
          <t>Master Number</t>
        </is>
      </c>
      <c r="H1" s="7" t="inlineStr">
        <is>
          <t>House Number</t>
        </is>
      </c>
      <c r="I1" s="7" t="inlineStr">
        <is>
          <t>No. of Pieces</t>
        </is>
      </c>
      <c r="J1" s="7" t="inlineStr">
        <is>
          <t>Gross Wt (kg)</t>
        </is>
      </c>
      <c r="K1" s="7" t="inlineStr">
        <is>
          <t>Chargeable Wt (kg)</t>
        </is>
      </c>
      <c r="L1" s="7" t="inlineStr">
        <is>
          <t>Routing</t>
        </is>
      </c>
      <c r="M1" s="7" t="inlineStr">
        <is>
          <t>Booking Received</t>
        </is>
      </c>
      <c r="N1" s="7" t="inlineStr">
        <is>
          <t>Pickup Date</t>
        </is>
      </c>
      <c r="O1" s="7" t="inlineStr">
        <is>
          <t>Flight No.</t>
        </is>
      </c>
      <c r="P1" s="7" t="inlineStr">
        <is>
          <t>ETD</t>
        </is>
      </c>
      <c r="Q1" s="7" t="inlineStr">
        <is>
          <t>ETA</t>
        </is>
      </c>
      <c r="R1" s="7" t="inlineStr">
        <is>
          <t>ATD</t>
        </is>
      </c>
      <c r="S1" s="7" t="inlineStr">
        <is>
          <t>ATA</t>
        </is>
      </c>
      <c r="T1" s="7" t="inlineStr">
        <is>
          <t>DO Release</t>
        </is>
      </c>
      <c r="U1" s="7" t="inlineStr">
        <is>
          <t>Completed (Y/N)</t>
        </is>
      </c>
      <c r="V1" s="7" t="inlineStr">
        <is>
          <t>Booking Approvers</t>
        </is>
      </c>
      <c r="W1" s="7" t="inlineStr">
        <is>
          <t>Consignee Email</t>
        </is>
      </c>
      <c r="X1" s="7" t="inlineStr">
        <is>
          <t>CHA Email</t>
        </is>
      </c>
      <c r="Y1" s="7" t="inlineStr">
        <is>
          <t>Remarks</t>
        </is>
      </c>
    </row>
    <row r="2">
      <c r="A2" s="8" t="n">
        <v>1</v>
      </c>
      <c r="B2" s="9" t="inlineStr">
        <is>
          <t>Customer A</t>
        </is>
      </c>
      <c r="C2" s="9" t="inlineStr">
        <is>
          <t>MAAJOB001</t>
        </is>
      </c>
      <c r="D2" s="9" t="inlineStr">
        <is>
          <t>MAA</t>
        </is>
      </c>
      <c r="E2" s="9" t="inlineStr">
        <is>
          <t>Shanghai</t>
        </is>
      </c>
      <c r="F2" s="8" t="inlineStr">
        <is>
          <t>FOB</t>
        </is>
      </c>
      <c r="G2" s="9" t="inlineStr">
        <is>
          <t>MAEU1234567</t>
        </is>
      </c>
      <c r="H2" s="9" t="inlineStr">
        <is>
          <t>HSE890123</t>
        </is>
      </c>
      <c r="I2" s="8" t="n">
        <v>25</v>
      </c>
      <c r="J2" s="8" t="n">
        <v>450</v>
      </c>
      <c r="K2" s="8" t="n">
        <v>450</v>
      </c>
      <c r="L2" s="9" t="inlineStr">
        <is>
          <t>MAA-SHA Direct</t>
        </is>
      </c>
      <c r="M2" s="10" t="n">
        <v>46032</v>
      </c>
      <c r="N2" s="10" t="n">
        <v>46033</v>
      </c>
      <c r="O2" s="9" t="inlineStr">
        <is>
          <t>QR501</t>
        </is>
      </c>
      <c r="P2" s="10" t="n">
        <v>46034</v>
      </c>
      <c r="Q2" s="10" t="n">
        <v>46036</v>
      </c>
      <c r="R2" s="10" t="n">
        <v>46034</v>
      </c>
      <c r="S2" s="10" t="n">
        <v>46036</v>
      </c>
      <c r="T2" s="10" t="n">
        <v>46037</v>
      </c>
      <c r="U2" s="8" t="inlineStr">
        <is>
          <t>Y</t>
        </is>
      </c>
      <c r="V2" s="9" t="inlineStr">
        <is>
          <t>Ops Manager</t>
        </is>
      </c>
      <c r="W2" s="9" t="inlineStr">
        <is>
          <t>ops@customer-a.com</t>
        </is>
      </c>
      <c r="X2" s="9" t="inlineStr">
        <is>
          <t>cha1@example.com</t>
        </is>
      </c>
      <c r="Y2" s="9" t="inlineStr">
        <is>
          <t>Cleared without issues</t>
        </is>
      </c>
    </row>
    <row r="3">
      <c r="A3" s="11" t="n">
        <v>2</v>
      </c>
      <c r="B3" s="12" t="inlineStr">
        <is>
          <t>Customer B</t>
        </is>
      </c>
      <c r="C3" s="12" t="inlineStr">
        <is>
          <t>MAAJOB002</t>
        </is>
      </c>
      <c r="D3" s="12" t="inlineStr">
        <is>
          <t>MAA</t>
        </is>
      </c>
      <c r="E3" s="12" t="inlineStr">
        <is>
          <t>Frankfurt</t>
        </is>
      </c>
      <c r="F3" s="11" t="inlineStr">
        <is>
          <t>CIF</t>
        </is>
      </c>
      <c r="G3" s="12" t="inlineStr">
        <is>
          <t>CMAU4567891</t>
        </is>
      </c>
      <c r="H3" s="12" t="inlineStr">
        <is>
          <t>HSE890124</t>
        </is>
      </c>
      <c r="I3" s="11" t="n">
        <v>18</v>
      </c>
      <c r="J3" s="11" t="n">
        <v>320</v>
      </c>
      <c r="K3" s="11" t="n">
        <v>340</v>
      </c>
      <c r="L3" s="12" t="inlineStr">
        <is>
          <t>MAA-FRA via DXB</t>
        </is>
      </c>
      <c r="M3" s="13" t="n">
        <v>46032</v>
      </c>
      <c r="N3" s="13" t="n">
        <v>46033</v>
      </c>
      <c r="O3" s="12" t="inlineStr">
        <is>
          <t>EK545</t>
        </is>
      </c>
      <c r="P3" s="13" t="n">
        <v>46034</v>
      </c>
      <c r="Q3" s="13" t="n">
        <v>46035</v>
      </c>
      <c r="R3" s="13" t="n">
        <v>46034</v>
      </c>
      <c r="S3" s="11" t="inlineStr"/>
      <c r="T3" s="11" t="inlineStr"/>
      <c r="U3" s="11" t="inlineStr">
        <is>
          <t>N</t>
        </is>
      </c>
      <c r="V3" s="12" t="inlineStr">
        <is>
          <t>KAM</t>
        </is>
      </c>
      <c r="W3" s="12" t="inlineStr">
        <is>
          <t>logistics@customer-b.com</t>
        </is>
      </c>
      <c r="X3" s="12" t="inlineStr">
        <is>
          <t>cha2@example.com</t>
        </is>
      </c>
      <c r="Y3" s="12" t="inlineStr">
        <is>
          <t>In transit — ETA tomorrow</t>
        </is>
      </c>
    </row>
    <row r="4">
      <c r="A4" s="8" t="n">
        <v>3</v>
      </c>
      <c r="B4" s="9" t="inlineStr">
        <is>
          <t>Customer C</t>
        </is>
      </c>
      <c r="C4" s="9" t="inlineStr">
        <is>
          <t>MAAJOB003</t>
        </is>
      </c>
      <c r="D4" s="9" t="inlineStr">
        <is>
          <t>HKG</t>
        </is>
      </c>
      <c r="E4" s="9" t="inlineStr">
        <is>
          <t>MAA</t>
        </is>
      </c>
      <c r="F4" s="8" t="inlineStr">
        <is>
          <t>DAP</t>
        </is>
      </c>
      <c r="G4" s="9" t="inlineStr">
        <is>
          <t>MSCU7890123</t>
        </is>
      </c>
      <c r="H4" s="9" t="inlineStr">
        <is>
          <t>HSE890125</t>
        </is>
      </c>
      <c r="I4" s="8" t="n">
        <v>40</v>
      </c>
      <c r="J4" s="8" t="n">
        <v>780</v>
      </c>
      <c r="K4" s="8" t="n">
        <v>820</v>
      </c>
      <c r="L4" s="9" t="inlineStr">
        <is>
          <t>HKG-MAA Direct</t>
        </is>
      </c>
      <c r="M4" s="10" t="n">
        <v>46033</v>
      </c>
      <c r="N4" s="8" t="inlineStr"/>
      <c r="O4" s="9" t="inlineStr"/>
      <c r="P4" s="10" t="n">
        <v>46035</v>
      </c>
      <c r="Q4" s="10" t="n">
        <v>46038</v>
      </c>
      <c r="R4" s="10" t="n">
        <v>46035</v>
      </c>
      <c r="S4" s="10" t="n">
        <v>46038</v>
      </c>
      <c r="T4" s="10" t="n">
        <v>46039</v>
      </c>
      <c r="U4" s="8" t="inlineStr">
        <is>
          <t>Y</t>
        </is>
      </c>
      <c r="V4" s="9" t="inlineStr">
        <is>
          <t>KAM</t>
        </is>
      </c>
      <c r="W4" s="9" t="inlineStr">
        <is>
          <t>imports@customer-c.com</t>
        </is>
      </c>
      <c r="X4" s="9" t="inlineStr">
        <is>
          <t>cha1@example.com</t>
        </is>
      </c>
      <c r="Y4" s="9" t="inlineStr">
        <is>
          <t>BOE filed, awaiting clearance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</row>
  </sheetData>
  <dataValidations count="2">
    <dataValidation sqref="F2:F500" showDropDown="0" showInputMessage="0" showErrorMessage="0" allowBlank="1" type="list">
      <formula1>"EXW,FCA,FOB,CFR,CIF,CPT,CIP,DAP,DPU,DDP"</formula1>
    </dataValidation>
    <dataValidation sqref="U2:U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3" customWidth="1" min="5" max="5"/>
    <col width="24" customWidth="1" min="6" max="6"/>
    <col width="14" customWidth="1" min="7" max="7"/>
  </cols>
  <sheetData>
    <row r="1" ht="30" customHeight="1">
      <c r="B1" s="16" t="inlineStr">
        <is>
          <t>DSR COMPLIANCE  ·  WORKING DAYS</t>
        </is>
      </c>
      <c r="F1" s="17" t="inlineStr">
        <is>
          <t>COMPLIANCE METRICS</t>
        </is>
      </c>
    </row>
    <row r="2">
      <c r="F2" s="18" t="inlineStr">
        <is>
          <t>Working Days</t>
        </is>
      </c>
      <c r="G2" s="19">
        <f>COUNTA(B4:B500)</f>
        <v/>
      </c>
    </row>
    <row r="3" ht="24" customHeight="1">
      <c r="B3" s="20" t="inlineStr">
        <is>
          <t>Date</t>
        </is>
      </c>
      <c r="C3" s="20" t="inlineStr">
        <is>
          <t>Weekday</t>
        </is>
      </c>
      <c r="D3" s="20" t="inlineStr">
        <is>
          <t>DSR Sent (Y/N)</t>
        </is>
      </c>
      <c r="F3" s="18" t="inlineStr">
        <is>
          <t>DSRs Sent</t>
        </is>
      </c>
      <c r="G3" s="19">
        <f>COUNTIF(D4:D500,"Y")</f>
        <v/>
      </c>
    </row>
    <row r="4">
      <c r="B4" s="10" t="n">
        <v>46023</v>
      </c>
      <c r="C4" s="8" t="inlineStr">
        <is>
          <t>Thursday</t>
        </is>
      </c>
      <c r="D4" s="21">
        <f>IFERROR(IF(COUNTIFS('Outlook Log'!C:C,"&gt;="&amp;B4,'Outlook Log'!C:C,"&lt;"&amp;(B4+1))&gt;0,"Y","N"),"")</f>
        <v/>
      </c>
      <c r="F4" s="18" t="inlineStr">
        <is>
          <t>DSRs Missed</t>
        </is>
      </c>
      <c r="G4" s="19">
        <f>COUNTIF(D4:D500,"N")</f>
        <v/>
      </c>
    </row>
    <row r="5">
      <c r="B5" s="13" t="n">
        <v>46024</v>
      </c>
      <c r="C5" s="11" t="inlineStr">
        <is>
          <t>Friday</t>
        </is>
      </c>
      <c r="D5" s="22">
        <f>IFERROR(IF(COUNTIFS('Outlook Log'!C:C,"&gt;="&amp;B5,'Outlook Log'!C:C,"&lt;"&amp;(B5+1))&gt;0,"Y","N"),"")</f>
        <v/>
      </c>
      <c r="F5" s="18" t="inlineStr">
        <is>
          <t>Pending / Today</t>
        </is>
      </c>
      <c r="G5" s="19">
        <f>COUNTBLANK(D4:INDEX(D:D,COUNTA(B:B)+2))</f>
        <v/>
      </c>
    </row>
    <row r="6">
      <c r="B6" s="10" t="n">
        <v>46025</v>
      </c>
      <c r="C6" s="8" t="inlineStr">
        <is>
          <t>Saturday</t>
        </is>
      </c>
      <c r="D6" s="21">
        <f>IFERROR(IF(COUNTIFS('Outlook Log'!C:C,"&gt;="&amp;B6,'Outlook Log'!C:C,"&lt;"&amp;(B6+1))&gt;0,"Y","N"),"")</f>
        <v/>
      </c>
      <c r="F6" s="18" t="inlineStr">
        <is>
          <t>Compliance %</t>
        </is>
      </c>
      <c r="G6" s="23">
        <f>IFERROR(COUNTIF(D4:D500,"Y")/(COUNTIF(D4:D500,"Y")+COUNTIF(D4:D500,"N")),0)</f>
        <v/>
      </c>
    </row>
    <row r="7">
      <c r="B7" s="13" t="n">
        <v>46027</v>
      </c>
      <c r="C7" s="11" t="inlineStr">
        <is>
          <t>Monday</t>
        </is>
      </c>
      <c r="D7" s="22">
        <f>IFERROR(IF(COUNTIFS('Outlook Log'!C:C,"&gt;="&amp;B7,'Outlook Log'!C:C,"&lt;"&amp;(B7+1))&gt;0,"Y","N"),"")</f>
        <v/>
      </c>
    </row>
    <row r="8">
      <c r="B8" s="10" t="n">
        <v>46028</v>
      </c>
      <c r="C8" s="8" t="inlineStr">
        <is>
          <t>Tuesday</t>
        </is>
      </c>
      <c r="D8" s="21">
        <f>IFERROR(IF(COUNTIFS('Outlook Log'!C:C,"&gt;="&amp;B8,'Outlook Log'!C:C,"&lt;"&amp;(B8+1))&gt;0,"Y","N"),"")</f>
        <v/>
      </c>
    </row>
    <row r="9">
      <c r="B9" s="13" t="n">
        <v>46029</v>
      </c>
      <c r="C9" s="11" t="inlineStr">
        <is>
          <t>Wednesday</t>
        </is>
      </c>
      <c r="D9" s="22">
        <f>IFERROR(IF(COUNTIFS('Outlook Log'!C:C,"&gt;="&amp;B9,'Outlook Log'!C:C,"&lt;"&amp;(B9+1))&gt;0,"Y","N"),"")</f>
        <v/>
      </c>
    </row>
    <row r="10">
      <c r="B10" s="10" t="n">
        <v>46030</v>
      </c>
      <c r="C10" s="8" t="inlineStr">
        <is>
          <t>Thursday</t>
        </is>
      </c>
      <c r="D10" s="21">
        <f>IFERROR(IF(COUNTIFS('Outlook Log'!C:C,"&gt;="&amp;B10,'Outlook Log'!C:C,"&lt;"&amp;(B10+1))&gt;0,"Y","N"),"")</f>
        <v/>
      </c>
    </row>
    <row r="11">
      <c r="B11" s="13" t="n">
        <v>46031</v>
      </c>
      <c r="C11" s="11" t="inlineStr">
        <is>
          <t>Friday</t>
        </is>
      </c>
      <c r="D11" s="22">
        <f>IFERROR(IF(COUNTIFS('Outlook Log'!C:C,"&gt;="&amp;B11,'Outlook Log'!C:C,"&lt;"&amp;(B11+1))&gt;0,"Y","N"),"")</f>
        <v/>
      </c>
    </row>
    <row r="12">
      <c r="B12" s="10" t="n">
        <v>46032</v>
      </c>
      <c r="C12" s="8" t="inlineStr">
        <is>
          <t>Saturday</t>
        </is>
      </c>
      <c r="D12" s="21">
        <f>IFERROR(IF(COUNTIFS('Outlook Log'!C:C,"&gt;="&amp;B12,'Outlook Log'!C:C,"&lt;"&amp;(B12+1))&gt;0,"Y","N"),"")</f>
        <v/>
      </c>
    </row>
    <row r="13">
      <c r="B13" s="13" t="n">
        <v>46034</v>
      </c>
      <c r="C13" s="11" t="inlineStr">
        <is>
          <t>Monday</t>
        </is>
      </c>
      <c r="D13" s="22">
        <f>IFERROR(IF(COUNTIFS('Outlook Log'!C:C,"&gt;="&amp;B13,'Outlook Log'!C:C,"&lt;"&amp;(B13+1))&gt;0,"Y","N"),"")</f>
        <v/>
      </c>
    </row>
    <row r="14">
      <c r="B14" s="10" t="n">
        <v>46035</v>
      </c>
      <c r="C14" s="8" t="inlineStr">
        <is>
          <t>Tuesday</t>
        </is>
      </c>
      <c r="D14" s="21">
        <f>IFERROR(IF(COUNTIFS('Outlook Log'!C:C,"&gt;="&amp;B14,'Outlook Log'!C:C,"&lt;"&amp;(B14+1))&gt;0,"Y","N"),"")</f>
        <v/>
      </c>
    </row>
    <row r="15">
      <c r="B15" s="13" t="n">
        <v>46036</v>
      </c>
      <c r="C15" s="11" t="inlineStr">
        <is>
          <t>Wednesday</t>
        </is>
      </c>
      <c r="D15" s="22">
        <f>IFERROR(IF(COUNTIFS('Outlook Log'!C:C,"&gt;="&amp;B15,'Outlook Log'!C:C,"&lt;"&amp;(B15+1))&gt;0,"Y","N"),"")</f>
        <v/>
      </c>
    </row>
    <row r="16">
      <c r="B16" s="10" t="n">
        <v>46037</v>
      </c>
      <c r="C16" s="8" t="inlineStr">
        <is>
          <t>Thursday</t>
        </is>
      </c>
      <c r="D16" s="21">
        <f>IFERROR(IF(COUNTIFS('Outlook Log'!C:C,"&gt;="&amp;B16,'Outlook Log'!C:C,"&lt;"&amp;(B16+1))&gt;0,"Y","N"),"")</f>
        <v/>
      </c>
    </row>
    <row r="17">
      <c r="B17" s="13" t="n">
        <v>46038</v>
      </c>
      <c r="C17" s="11" t="inlineStr">
        <is>
          <t>Friday</t>
        </is>
      </c>
      <c r="D17" s="22">
        <f>IFERROR(IF(COUNTIFS('Outlook Log'!C:C,"&gt;="&amp;B17,'Outlook Log'!C:C,"&lt;"&amp;(B17+1))&gt;0,"Y","N"),"")</f>
        <v/>
      </c>
    </row>
    <row r="18">
      <c r="B18" s="10" t="n">
        <v>46039</v>
      </c>
      <c r="C18" s="8" t="inlineStr">
        <is>
          <t>Saturday</t>
        </is>
      </c>
      <c r="D18" s="21">
        <f>IFERROR(IF(COUNTIFS('Outlook Log'!C:C,"&gt;="&amp;B18,'Outlook Log'!C:C,"&lt;"&amp;(B18+1))&gt;0,"Y","N"),"")</f>
        <v/>
      </c>
    </row>
    <row r="19">
      <c r="B19" s="13" t="n">
        <v>46041</v>
      </c>
      <c r="C19" s="11" t="inlineStr">
        <is>
          <t>Monday</t>
        </is>
      </c>
      <c r="D19" s="22">
        <f>IFERROR(IF(COUNTIFS('Outlook Log'!C:C,"&gt;="&amp;B19,'Outlook Log'!C:C,"&lt;"&amp;(B19+1))&gt;0,"Y","N"),"")</f>
        <v/>
      </c>
    </row>
    <row r="20">
      <c r="B20" s="10" t="n">
        <v>46042</v>
      </c>
      <c r="C20" s="8" t="inlineStr">
        <is>
          <t>Tuesday</t>
        </is>
      </c>
      <c r="D20" s="21">
        <f>IFERROR(IF(COUNTIFS('Outlook Log'!C:C,"&gt;="&amp;B20,'Outlook Log'!C:C,"&lt;"&amp;(B20+1))&gt;0,"Y","N"),"")</f>
        <v/>
      </c>
    </row>
    <row r="21">
      <c r="B21" s="13" t="n">
        <v>46043</v>
      </c>
      <c r="C21" s="11" t="inlineStr">
        <is>
          <t>Wednesday</t>
        </is>
      </c>
      <c r="D21" s="22">
        <f>IFERROR(IF(COUNTIFS('Outlook Log'!C:C,"&gt;="&amp;B21,'Outlook Log'!C:C,"&lt;"&amp;(B21+1))&gt;0,"Y","N"),"")</f>
        <v/>
      </c>
    </row>
    <row r="22">
      <c r="B22" s="10" t="n">
        <v>46044</v>
      </c>
      <c r="C22" s="8" t="inlineStr">
        <is>
          <t>Thursday</t>
        </is>
      </c>
      <c r="D22" s="21">
        <f>IFERROR(IF(COUNTIFS('Outlook Log'!C:C,"&gt;="&amp;B22,'Outlook Log'!C:C,"&lt;"&amp;(B22+1))&gt;0,"Y","N"),"")</f>
        <v/>
      </c>
    </row>
    <row r="23">
      <c r="B23" s="13" t="n">
        <v>46045</v>
      </c>
      <c r="C23" s="11" t="inlineStr">
        <is>
          <t>Friday</t>
        </is>
      </c>
      <c r="D23" s="22">
        <f>IFERROR(IF(COUNTIFS('Outlook Log'!C:C,"&gt;="&amp;B23,'Outlook Log'!C:C,"&lt;"&amp;(B23+1))&gt;0,"Y","N"),"")</f>
        <v/>
      </c>
    </row>
    <row r="24">
      <c r="B24" s="10" t="n">
        <v>46046</v>
      </c>
      <c r="C24" s="8" t="inlineStr">
        <is>
          <t>Saturday</t>
        </is>
      </c>
      <c r="D24" s="21">
        <f>IFERROR(IF(COUNTIFS('Outlook Log'!C:C,"&gt;="&amp;B24,'Outlook Log'!C:C,"&lt;"&amp;(B24+1))&gt;0,"Y","N"),"")</f>
        <v/>
      </c>
    </row>
    <row r="25">
      <c r="B25" s="13" t="n">
        <v>46048</v>
      </c>
      <c r="C25" s="11" t="inlineStr">
        <is>
          <t>Monday</t>
        </is>
      </c>
      <c r="D25" s="22">
        <f>IFERROR(IF(COUNTIFS('Outlook Log'!C:C,"&gt;="&amp;B25,'Outlook Log'!C:C,"&lt;"&amp;(B25+1))&gt;0,"Y","N"),"")</f>
        <v/>
      </c>
    </row>
    <row r="26">
      <c r="B26" s="10" t="n">
        <v>46049</v>
      </c>
      <c r="C26" s="8" t="inlineStr">
        <is>
          <t>Tuesday</t>
        </is>
      </c>
      <c r="D26" s="21">
        <f>IFERROR(IF(COUNTIFS('Outlook Log'!C:C,"&gt;="&amp;B26,'Outlook Log'!C:C,"&lt;"&amp;(B26+1))&gt;0,"Y","N"),"")</f>
        <v/>
      </c>
    </row>
    <row r="27">
      <c r="B27" s="13" t="n">
        <v>46050</v>
      </c>
      <c r="C27" s="11" t="inlineStr">
        <is>
          <t>Wednesday</t>
        </is>
      </c>
      <c r="D27" s="22">
        <f>IFERROR(IF(COUNTIFS('Outlook Log'!C:C,"&gt;="&amp;B27,'Outlook Log'!C:C,"&lt;"&amp;(B27+1))&gt;0,"Y","N"),"")</f>
        <v/>
      </c>
    </row>
    <row r="28">
      <c r="B28" s="10" t="n">
        <v>46051</v>
      </c>
      <c r="C28" s="8" t="inlineStr">
        <is>
          <t>Thursday</t>
        </is>
      </c>
      <c r="D28" s="21">
        <f>IFERROR(IF(COUNTIFS('Outlook Log'!C:C,"&gt;="&amp;B28,'Outlook Log'!C:C,"&lt;"&amp;(B28+1))&gt;0,"Y","N"),"")</f>
        <v/>
      </c>
    </row>
    <row r="29">
      <c r="B29" s="13" t="n">
        <v>46052</v>
      </c>
      <c r="C29" s="11" t="inlineStr">
        <is>
          <t>Friday</t>
        </is>
      </c>
      <c r="D29" s="22">
        <f>IFERROR(IF(COUNTIFS('Outlook Log'!C:C,"&gt;="&amp;B29,'Outlook Log'!C:C,"&lt;"&amp;(B29+1))&gt;0,"Y","N"),"")</f>
        <v/>
      </c>
    </row>
    <row r="30">
      <c r="B30" s="10" t="n">
        <v>46053</v>
      </c>
      <c r="C30" s="8" t="inlineStr">
        <is>
          <t>Saturday</t>
        </is>
      </c>
      <c r="D30" s="21">
        <f>IFERROR(IF(COUNTIFS('Outlook Log'!C:C,"&gt;="&amp;B30,'Outlook Log'!C:C,"&lt;"&amp;(B30+1))&gt;0,"Y","N"),"")</f>
        <v/>
      </c>
    </row>
    <row r="31">
      <c r="B31" s="13" t="n">
        <v>46055</v>
      </c>
      <c r="C31" s="11" t="inlineStr">
        <is>
          <t>Monday</t>
        </is>
      </c>
      <c r="D31" s="22">
        <f>IFERROR(IF(COUNTIFS('Outlook Log'!C:C,"&gt;="&amp;B31,'Outlook Log'!C:C,"&lt;"&amp;(B31+1))&gt;0,"Y","N"),"")</f>
        <v/>
      </c>
    </row>
    <row r="32">
      <c r="B32" s="10" t="n">
        <v>46056</v>
      </c>
      <c r="C32" s="8" t="inlineStr">
        <is>
          <t>Tuesday</t>
        </is>
      </c>
      <c r="D32" s="21">
        <f>IFERROR(IF(COUNTIFS('Outlook Log'!C:C,"&gt;="&amp;B32,'Outlook Log'!C:C,"&lt;"&amp;(B32+1))&gt;0,"Y","N"),"")</f>
        <v/>
      </c>
    </row>
    <row r="33">
      <c r="B33" s="13" t="n">
        <v>46057</v>
      </c>
      <c r="C33" s="11" t="inlineStr">
        <is>
          <t>Wednesday</t>
        </is>
      </c>
      <c r="D33" s="22">
        <f>IFERROR(IF(COUNTIFS('Outlook Log'!C:C,"&gt;="&amp;B33,'Outlook Log'!C:C,"&lt;"&amp;(B33+1))&gt;0,"Y","N"),"")</f>
        <v/>
      </c>
    </row>
    <row r="36">
      <c r="B36" s="24" t="inlineStr">
        <is>
          <t>Note: Column D auto-populates from the Outlook Log. Click 'Refresh Outlook Log' on that sheet to update.</t>
        </is>
      </c>
    </row>
  </sheetData>
  <mergeCells count="3">
    <mergeCell ref="B36:G36"/>
    <mergeCell ref="B1:D1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2" customWidth="1" min="3" max="3"/>
    <col width="12" customWidth="1" min="4" max="4"/>
    <col width="22" customWidth="1" min="5" max="5"/>
  </cols>
  <sheetData>
    <row r="1" ht="32" customHeight="1">
      <c r="A1" s="16" t="inlineStr">
        <is>
          <t>OUTLOOK LOG  ·  DSR EMAILS — AUTO-POPULATED FROM OUTLOOK</t>
        </is>
      </c>
    </row>
    <row r="2" ht="22" customHeight="1">
      <c r="A2" s="25" t="inlineStr">
        <is>
          <t xml:space="preserve">  Click the 'Refresh Outlook Log' button (assigned to macro: RefreshOutlookLog)  →  pulls all 'DSR' emails from your Outlook Sent Items</t>
        </is>
      </c>
    </row>
    <row r="3" ht="22" customHeight="1">
      <c r="A3" s="20" t="inlineStr">
        <is>
          <t>Subject</t>
        </is>
      </c>
      <c r="B3" s="20" t="inlineStr">
        <is>
          <t>Sender</t>
        </is>
      </c>
      <c r="C3" s="20" t="inlineStr">
        <is>
          <t>Timestamp</t>
        </is>
      </c>
      <c r="D3" s="20" t="inlineStr">
        <is>
          <t>Direction</t>
        </is>
      </c>
      <c r="E3" s="20" t="inlineStr">
        <is>
          <t>Recipient(s)</t>
        </is>
      </c>
    </row>
    <row r="4">
      <c r="A4" s="9" t="inlineStr">
        <is>
          <t>DSR #20260105 - Customer A</t>
        </is>
      </c>
      <c r="B4" s="9" t="inlineStr">
        <is>
          <t>harshaa@forwarder.com</t>
        </is>
      </c>
      <c r="C4" s="26" t="n">
        <v>46027.7375</v>
      </c>
      <c r="D4" s="27" t="inlineStr">
        <is>
          <t>Sent</t>
        </is>
      </c>
      <c r="E4" s="9" t="inlineStr">
        <is>
          <t>ops@customer-a.com</t>
        </is>
      </c>
    </row>
    <row r="5">
      <c r="A5" s="12" t="inlineStr">
        <is>
          <t>DSR #20260106 - Customer A</t>
        </is>
      </c>
      <c r="B5" s="12" t="inlineStr">
        <is>
          <t>harshaa@forwarder.com</t>
        </is>
      </c>
      <c r="C5" s="28" t="n">
        <v>46028.74861111111</v>
      </c>
      <c r="D5" s="29" t="inlineStr">
        <is>
          <t>Sent</t>
        </is>
      </c>
      <c r="E5" s="12" t="inlineStr">
        <is>
          <t>ops@customer-a.com</t>
        </is>
      </c>
    </row>
    <row r="6">
      <c r="A6" s="9" t="inlineStr">
        <is>
          <t>DSR #20260107 - Daily</t>
        </is>
      </c>
      <c r="B6" s="9" t="inlineStr">
        <is>
          <t>harshaa@forwarder.com</t>
        </is>
      </c>
      <c r="C6" s="26" t="n">
        <v>46029.75833333333</v>
      </c>
      <c r="D6" s="27" t="inlineStr">
        <is>
          <t>Sent</t>
        </is>
      </c>
      <c r="E6" s="9" t="inlineStr">
        <is>
          <t>ops@customer-a.com; ops@customer-b.com</t>
        </is>
      </c>
    </row>
    <row r="7">
      <c r="A7" s="12" t="inlineStr">
        <is>
          <t>RE: DSR #20260107</t>
        </is>
      </c>
      <c r="B7" s="12" t="inlineStr">
        <is>
          <t>ops@customer-a.com</t>
        </is>
      </c>
      <c r="C7" s="28" t="n">
        <v>46030.38541666666</v>
      </c>
      <c r="D7" s="30" t="inlineStr">
        <is>
          <t>Received</t>
        </is>
      </c>
      <c r="E7" s="12" t="inlineStr">
        <is>
          <t>harshaa@forwarder.com</t>
        </is>
      </c>
    </row>
    <row r="8">
      <c r="A8" s="9" t="inlineStr">
        <is>
          <t>DSR #20260108 - Daily</t>
        </is>
      </c>
      <c r="B8" s="9" t="inlineStr">
        <is>
          <t>harshaa@forwarder.com</t>
        </is>
      </c>
      <c r="C8" s="26" t="n">
        <v>46030.75208333333</v>
      </c>
      <c r="D8" s="27" t="inlineStr">
        <is>
          <t>Sent</t>
        </is>
      </c>
      <c r="E8" s="9" t="inlineStr">
        <is>
          <t>ops@customer-a.com; ops@customer-b.com</t>
        </is>
      </c>
    </row>
    <row r="9">
      <c r="A9" s="12" t="inlineStr">
        <is>
          <t>DSR #20260109 - Customer C</t>
        </is>
      </c>
      <c r="B9" s="12" t="inlineStr">
        <is>
          <t>harshaa@forwarder.com</t>
        </is>
      </c>
      <c r="C9" s="28" t="n">
        <v>46031.69930555556</v>
      </c>
      <c r="D9" s="29" t="inlineStr">
        <is>
          <t>Sent</t>
        </is>
      </c>
      <c r="E9" s="12" t="inlineStr">
        <is>
          <t>imports@customer-c.com</t>
        </is>
      </c>
    </row>
    <row r="10">
      <c r="A10" s="9" t="inlineStr">
        <is>
          <t>DSR #20260110 - Daily</t>
        </is>
      </c>
      <c r="B10" s="9" t="inlineStr">
        <is>
          <t>harshaa@forwarder.com</t>
        </is>
      </c>
      <c r="C10" s="26" t="n">
        <v>46032.72916666666</v>
      </c>
      <c r="D10" s="27" t="inlineStr">
        <is>
          <t>Sent</t>
        </is>
      </c>
      <c r="E10" s="9" t="inlineStr">
        <is>
          <t>ops@customer-a.com</t>
        </is>
      </c>
    </row>
    <row r="11">
      <c r="A11" s="12" t="inlineStr">
        <is>
          <t>DSR #20260112 - Daily</t>
        </is>
      </c>
      <c r="B11" s="12" t="inlineStr">
        <is>
          <t>harshaa@forwarder.com</t>
        </is>
      </c>
      <c r="C11" s="28" t="n">
        <v>46034.7625</v>
      </c>
      <c r="D11" s="29" t="inlineStr">
        <is>
          <t>Sent</t>
        </is>
      </c>
      <c r="E11" s="12" t="inlineStr">
        <is>
          <t>ops@customer-a.com; ops@customer-b.com</t>
        </is>
      </c>
    </row>
    <row r="12">
      <c r="A12" s="9" t="inlineStr">
        <is>
          <t>DSR #20260113 - Daily</t>
        </is>
      </c>
      <c r="B12" s="9" t="inlineStr">
        <is>
          <t>harshaa@forwarder.com</t>
        </is>
      </c>
      <c r="C12" s="26" t="n">
        <v>46035.74652777778</v>
      </c>
      <c r="D12" s="27" t="inlineStr">
        <is>
          <t>Sent</t>
        </is>
      </c>
      <c r="E12" s="9" t="inlineStr">
        <is>
          <t>ops@customer-a.com</t>
        </is>
      </c>
    </row>
    <row r="13">
      <c r="A13" s="12" t="inlineStr">
        <is>
          <t>DSR #20260114 - Daily</t>
        </is>
      </c>
      <c r="B13" s="12" t="inlineStr">
        <is>
          <t>harshaa@forwarder.com</t>
        </is>
      </c>
      <c r="C13" s="28" t="n">
        <v>46036.75138888889</v>
      </c>
      <c r="D13" s="29" t="inlineStr">
        <is>
          <t>Sent</t>
        </is>
      </c>
      <c r="E13" s="12" t="inlineStr">
        <is>
          <t>ops@customer-a.com; ops@customer-b.com</t>
        </is>
      </c>
    </row>
    <row r="14">
      <c r="A14" s="9" t="inlineStr">
        <is>
          <t>DSR #20260115 - Customer B</t>
        </is>
      </c>
      <c r="B14" s="9" t="inlineStr">
        <is>
          <t>harshaa@forwarder.com</t>
        </is>
      </c>
      <c r="C14" s="26" t="n">
        <v>46037.74166666667</v>
      </c>
      <c r="D14" s="27" t="inlineStr">
        <is>
          <t>Sent</t>
        </is>
      </c>
      <c r="E14" s="9" t="inlineStr">
        <is>
          <t>logistics@customer-b.com</t>
        </is>
      </c>
    </row>
    <row r="15">
      <c r="A15" s="12" t="inlineStr">
        <is>
          <t>DSR #20260116 - Daily</t>
        </is>
      </c>
      <c r="B15" s="12" t="inlineStr">
        <is>
          <t>harshaa@forwarder.com</t>
        </is>
      </c>
      <c r="C15" s="28" t="n">
        <v>46038.73611111111</v>
      </c>
      <c r="D15" s="29" t="inlineStr">
        <is>
          <t>Sent</t>
        </is>
      </c>
      <c r="E15" s="12" t="inlineStr">
        <is>
          <t>ops@customer-a.com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2026-04-21T05:56:21Z</dcterms:created>
  <dcterms:modified xmlns:dcterms="http://purl.org/dc/terms/" xmlns:xsi="http://www.w3.org/2001/XMLSchema-instance" xsi:type="dcterms:W3CDTF">2026-04-21T05:56:21Z</dcterms:modified>
</cp:coreProperties>
</file>